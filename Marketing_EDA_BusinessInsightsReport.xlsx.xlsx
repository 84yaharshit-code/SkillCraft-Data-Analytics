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89EAAD7-D27A-436E-96A6-A03FB808D5A2}" xr6:coauthVersionLast="47" xr6:coauthVersionMax="47" xr10:uidLastSave="{00000000-0000-0000-0000-000000000000}"/>
  <bookViews>
    <workbookView xWindow="-108" yWindow="-108" windowWidth="23256" windowHeight="13896" activeTab="2" xr2:uid="{BBCDB966-003A-4452-A90F-169E49B82C82}"/>
  </bookViews>
  <sheets>
    <sheet name="Sheet2" sheetId="3" r:id="rId1"/>
    <sheet name="marketing_campaign_data" sheetId="2" r:id="rId2"/>
    <sheet name="Sheet3" sheetId="4" r:id="rId3"/>
  </sheets>
  <definedNames>
    <definedName name="ExternalData_1" localSheetId="1" hidden="1">marketing_campaign_data!$A$1:$H$51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M6" i="3"/>
  <c r="M7" i="3"/>
  <c r="M8" i="3"/>
  <c r="M9" i="3"/>
  <c r="M4" i="3"/>
  <c r="L5" i="3"/>
  <c r="L6" i="3"/>
  <c r="L7" i="3"/>
  <c r="L8" i="3"/>
  <c r="L9" i="3"/>
  <c r="L4" i="3"/>
  <c r="K5" i="3"/>
  <c r="K6" i="3"/>
  <c r="K7" i="3"/>
  <c r="K8" i="3"/>
  <c r="K9" i="3"/>
  <c r="K4" i="3"/>
  <c r="J5" i="3"/>
  <c r="J6" i="3"/>
  <c r="J7" i="3"/>
  <c r="J8" i="3"/>
  <c r="J9" i="3"/>
  <c r="J4" i="3"/>
  <c r="I5" i="3"/>
  <c r="I6" i="3"/>
  <c r="I7" i="3"/>
  <c r="I8" i="3"/>
  <c r="I9" i="3"/>
  <c r="I4" i="3"/>
  <c r="H9" i="3"/>
  <c r="H5" i="3"/>
  <c r="H6" i="3"/>
  <c r="H7" i="3"/>
  <c r="H8" i="3"/>
  <c r="H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E1BEE-4DCA-475C-B412-1767E75D9F45}" keepAlive="1" name="Query - marketing_campaign_data" description="Connection to the 'marketing_campaign_data' query in the workbook." type="5" refreshedVersion="8" background="1" saveData="1">
    <dbPr connection="Provider=Microsoft.Mashup.OleDb.1;Data Source=$Workbook$;Location=marketing_campaign_data;Extended Properties=&quot;&quot;" command="SELECT * FROM [marketing_campaign_data]"/>
  </connection>
</connections>
</file>

<file path=xl/sharedStrings.xml><?xml version="1.0" encoding="utf-8"?>
<sst xmlns="http://schemas.openxmlformats.org/spreadsheetml/2006/main" count="100" uniqueCount="50">
  <si>
    <t>Date</t>
  </si>
  <si>
    <t>Channel</t>
  </si>
  <si>
    <t>Spend</t>
  </si>
  <si>
    <t>Impressions</t>
  </si>
  <si>
    <t>Clicks</t>
  </si>
  <si>
    <t>Conversions</t>
  </si>
  <si>
    <t>Revenue</t>
  </si>
  <si>
    <t>Customer_Acquisition_Cost</t>
  </si>
  <si>
    <t>Facebook</t>
  </si>
  <si>
    <t>Google_Ads</t>
  </si>
  <si>
    <t>Instagram</t>
  </si>
  <si>
    <t>Email</t>
  </si>
  <si>
    <t>LinkedIn</t>
  </si>
  <si>
    <t>Row Labels</t>
  </si>
  <si>
    <t>Grand Total</t>
  </si>
  <si>
    <t>Sum of Spend</t>
  </si>
  <si>
    <t>Sum of Impressions</t>
  </si>
  <si>
    <t>Sum of Clicks</t>
  </si>
  <si>
    <t>Sum of Conversions</t>
  </si>
  <si>
    <t>Sum of Revenue</t>
  </si>
  <si>
    <t>CTI</t>
  </si>
  <si>
    <t xml:space="preserve">CONVERSION </t>
  </si>
  <si>
    <t>ROI</t>
  </si>
  <si>
    <t>ROAS</t>
  </si>
  <si>
    <t>CPM</t>
  </si>
  <si>
    <t>CPC</t>
  </si>
  <si>
    <t>MARKETING CAMPAIGN - BUSINESS INSIGHTS REPORT</t>
  </si>
  <si>
    <t>KEY FINDINGS</t>
  </si>
  <si>
    <t>BUDGET RECOMMENDATIONS</t>
  </si>
  <si>
    <t>CHANNEL COMPARISON TABLE</t>
  </si>
  <si>
    <t>CONCLUSION</t>
  </si>
  <si>
    <t xml:space="preserve"> 1. Email is the BEST performing channel with 1371% ROI
 2. For every $1 spent on Email, you earn $14.71 back  3. Email has 11.97% conversion rate (highest among all channels)
 4. LinkedIn is the WORST performer with only 404.76% ROI
 5. LinkedIn costs $0.77 per click (most expensive)
 OVERALL CAMPAIGN PERFORMANCE
 • Total Spend: $20,430
 • Total Revenue: $158,200
 • Overall ROI: 674.35% (EXCELLENT)
 • Overall ROAS: 7.74x</t>
  </si>
  <si>
    <t xml:space="preserve"> ✓ EMAIL: INCREASE budget 30-40%</t>
  </si>
  <si>
    <t xml:space="preserve">   Reason: Highest ROI (1371%), best conversion rate (11.97%)</t>
  </si>
  <si>
    <t xml:space="preserve"> ✓ GOOGLE ADS: INCREASE budget 20-25%</t>
  </si>
  <si>
    <t xml:space="preserve">  Reason: Strong ROI (644.56%), high conversion rate (9.85%)</t>
  </si>
  <si>
    <t xml:space="preserve"> ✓ FACEBOOK: MAINTAIN current budget</t>
  </si>
  <si>
    <t xml:space="preserve">  Reason: Stable ROI (644.16%), good reach</t>
  </si>
  <si>
    <t>✓ INSTAGRAM: KEEP STEADY</t>
  </si>
  <si>
    <t xml:space="preserve">   Reason: Decent ROI (592.88%), acceptable performance</t>
  </si>
  <si>
    <t xml:space="preserve"> ✗ LINKEDIN: REDUCE budget 15-20%</t>
  </si>
  <si>
    <t xml:space="preserve">   Reason: Lowest ROI (404.76%), highest costs, poor efficiency</t>
  </si>
  <si>
    <t>LinkedIn           404.76%        5.05x             REDUCE</t>
  </si>
  <si>
    <t>Instagram       592.88%         6.93x            STEADY</t>
  </si>
  <si>
    <t xml:space="preserve"> Facebook        644.16%        7.44x           MAINTAIN</t>
  </si>
  <si>
    <t xml:space="preserve"> Google Ads     644.56%        7.45x          INCREASE</t>
  </si>
  <si>
    <t xml:space="preserve"> Email                 1371%           14.71x       INCREASE</t>
  </si>
  <si>
    <t xml:space="preserve"> Channel            ROI                   ROAS        Action</t>
  </si>
  <si>
    <t xml:space="preserve"> Email marketing is the most efficient channel and should receive
 priority budget allocation. Reallocating 30% of LinkedIn's budget
 to Email and Google Ads is expected to increase overall ROI by 20-30%.
 The campaign has excellent overall ROI (674.35%), indicating a
 well-optimized marketing strategy with room for further improvements
 through channel-specific optimization.</t>
  </si>
  <si>
    <t>Email marketing is the most efficient channel and should receive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</si>
</sst>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" refreshedDate="46185.122368750002" createdVersion="8" refreshedVersion="8" minRefreshableVersion="3" recordCount="50" xr:uid="{47838201-44E2-403C-AC08-C1A501ABA9FD}">
  <cacheSource type="worksheet">
    <worksheetSource name="marketing_campaign_data"/>
  </cacheSource>
  <cacheFields count="8">
    <cacheField name="Date" numFmtId="14">
      <sharedItems containsSemiMixedTypes="0" containsNonDate="0" containsDate="1" containsString="0" minDate="2024-01-01T00:00:00" maxDate="2024-01-11T00:00:00"/>
    </cacheField>
    <cacheField name="Channel" numFmtId="0">
      <sharedItems count="5">
        <s v="Facebook"/>
        <s v="Google_Ads"/>
        <s v="Instagram"/>
        <s v="Email"/>
        <s v="LinkedIn"/>
      </sharedItems>
    </cacheField>
    <cacheField name="Spend" numFmtId="0">
      <sharedItems containsSemiMixedTypes="0" containsString="0" containsNumber="1" containsInteger="1" minValue="200" maxValue="615"/>
    </cacheField>
    <cacheField name="Impressions" numFmtId="0">
      <sharedItems containsSemiMixedTypes="0" containsString="0" containsNumber="1" containsInteger="1" minValue="5000" maxValue="27200"/>
    </cacheField>
    <cacheField name="Clicks" numFmtId="0">
      <sharedItems containsSemiMixedTypes="0" containsString="0" containsNumber="1" containsInteger="1" minValue="395" maxValue="1360"/>
    </cacheField>
    <cacheField name="Conversions" numFmtId="0">
      <sharedItems containsSemiMixedTypes="0" containsString="0" containsNumber="1" containsInteger="1" minValue="28" maxValue="94"/>
    </cacheField>
    <cacheField name="Revenue" numFmtId="0">
      <sharedItems containsSemiMixedTypes="0" containsString="0" containsNumber="1" containsInteger="1" minValue="1400" maxValue="4700"/>
    </cacheField>
    <cacheField name="Customer_Acquisition_Cost" numFmtId="0">
      <sharedItems containsSemiMixedTypes="0" containsString="0" containsNumber="1" minValue="3.33" maxValue="10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4-01-01T00:00:00"/>
    <x v="0"/>
    <n v="500"/>
    <n v="25000"/>
    <n v="1250"/>
    <n v="75"/>
    <n v="3750"/>
    <n v="6.67"/>
  </r>
  <r>
    <d v="2024-01-01T00:00:00"/>
    <x v="1"/>
    <n v="600"/>
    <n v="18000"/>
    <n v="900"/>
    <n v="90"/>
    <n v="4500"/>
    <n v="6.67"/>
  </r>
  <r>
    <d v="2024-01-01T00:00:00"/>
    <x v="2"/>
    <n v="400"/>
    <n v="22000"/>
    <n v="1100"/>
    <n v="55"/>
    <n v="2750"/>
    <n v="7.27"/>
  </r>
  <r>
    <d v="2024-01-01T00:00:00"/>
    <x v="3"/>
    <n v="200"/>
    <n v="5000"/>
    <n v="500"/>
    <n v="60"/>
    <n v="3000"/>
    <n v="3.33"/>
  </r>
  <r>
    <d v="2024-01-01T00:00:00"/>
    <x v="4"/>
    <n v="300"/>
    <n v="8000"/>
    <n v="400"/>
    <n v="30"/>
    <n v="1500"/>
    <n v="10"/>
  </r>
  <r>
    <d v="2024-01-02T00:00:00"/>
    <x v="0"/>
    <n v="520"/>
    <n v="26000"/>
    <n v="1300"/>
    <n v="78"/>
    <n v="3900"/>
    <n v="6.67"/>
  </r>
  <r>
    <d v="2024-01-02T00:00:00"/>
    <x v="1"/>
    <n v="580"/>
    <n v="17500"/>
    <n v="875"/>
    <n v="88"/>
    <n v="4400"/>
    <n v="6.59"/>
  </r>
  <r>
    <d v="2024-01-02T00:00:00"/>
    <x v="2"/>
    <n v="420"/>
    <n v="23000"/>
    <n v="1150"/>
    <n v="58"/>
    <n v="2900"/>
    <n v="7.24"/>
  </r>
  <r>
    <d v="2024-01-02T00:00:00"/>
    <x v="3"/>
    <n v="210"/>
    <n v="5200"/>
    <n v="520"/>
    <n v="63"/>
    <n v="3150"/>
    <n v="3.33"/>
  </r>
  <r>
    <d v="2024-01-02T00:00:00"/>
    <x v="4"/>
    <n v="320"/>
    <n v="8200"/>
    <n v="410"/>
    <n v="32"/>
    <n v="1600"/>
    <n v="10"/>
  </r>
  <r>
    <d v="2024-01-03T00:00:00"/>
    <x v="0"/>
    <n v="490"/>
    <n v="24500"/>
    <n v="1225"/>
    <n v="72"/>
    <n v="3600"/>
    <n v="6.81"/>
  </r>
  <r>
    <d v="2024-01-03T00:00:00"/>
    <x v="1"/>
    <n v="610"/>
    <n v="18500"/>
    <n v="925"/>
    <n v="92"/>
    <n v="4600"/>
    <n v="6.63"/>
  </r>
  <r>
    <d v="2024-01-03T00:00:00"/>
    <x v="2"/>
    <n v="380"/>
    <n v="21000"/>
    <n v="1050"/>
    <n v="52"/>
    <n v="2600"/>
    <n v="7.31"/>
  </r>
  <r>
    <d v="2024-01-03T00:00:00"/>
    <x v="3"/>
    <n v="220"/>
    <n v="5400"/>
    <n v="540"/>
    <n v="65"/>
    <n v="3250"/>
    <n v="3.38"/>
  </r>
  <r>
    <d v="2024-01-03T00:00:00"/>
    <x v="4"/>
    <n v="310"/>
    <n v="8100"/>
    <n v="405"/>
    <n v="31"/>
    <n v="1550"/>
    <n v="10"/>
  </r>
  <r>
    <d v="2024-01-04T00:00:00"/>
    <x v="0"/>
    <n v="540"/>
    <n v="27000"/>
    <n v="1350"/>
    <n v="80"/>
    <n v="4000"/>
    <n v="6.75"/>
  </r>
  <r>
    <d v="2024-01-04T00:00:00"/>
    <x v="1"/>
    <n v="590"/>
    <n v="17800"/>
    <n v="890"/>
    <n v="86"/>
    <n v="4300"/>
    <n v="6.86"/>
  </r>
  <r>
    <d v="2024-01-04T00:00:00"/>
    <x v="2"/>
    <n v="410"/>
    <n v="22500"/>
    <n v="1125"/>
    <n v="56"/>
    <n v="2800"/>
    <n v="7.32"/>
  </r>
  <r>
    <d v="2024-01-04T00:00:00"/>
    <x v="3"/>
    <n v="230"/>
    <n v="5600"/>
    <n v="560"/>
    <n v="68"/>
    <n v="3400"/>
    <n v="3.38"/>
  </r>
  <r>
    <d v="2024-01-04T00:00:00"/>
    <x v="4"/>
    <n v="330"/>
    <n v="8300"/>
    <n v="415"/>
    <n v="33"/>
    <n v="1650"/>
    <n v="10"/>
  </r>
  <r>
    <d v="2024-01-05T00:00:00"/>
    <x v="0"/>
    <n v="510"/>
    <n v="25500"/>
    <n v="1275"/>
    <n v="76"/>
    <n v="3800"/>
    <n v="6.71"/>
  </r>
  <r>
    <d v="2024-01-05T00:00:00"/>
    <x v="1"/>
    <n v="605"/>
    <n v="18200"/>
    <n v="910"/>
    <n v="89"/>
    <n v="4450"/>
    <n v="6.8"/>
  </r>
  <r>
    <d v="2024-01-05T00:00:00"/>
    <x v="2"/>
    <n v="390"/>
    <n v="21500"/>
    <n v="1075"/>
    <n v="54"/>
    <n v="2700"/>
    <n v="7.22"/>
  </r>
  <r>
    <d v="2024-01-05T00:00:00"/>
    <x v="3"/>
    <n v="215"/>
    <n v="5300"/>
    <n v="530"/>
    <n v="62"/>
    <n v="3100"/>
    <n v="3.47"/>
  </r>
  <r>
    <d v="2024-01-05T00:00:00"/>
    <x v="4"/>
    <n v="315"/>
    <n v="8150"/>
    <n v="408"/>
    <n v="32"/>
    <n v="1600"/>
    <n v="9.84"/>
  </r>
  <r>
    <d v="2024-01-06T00:00:00"/>
    <x v="0"/>
    <n v="530"/>
    <n v="26500"/>
    <n v="1325"/>
    <n v="79"/>
    <n v="3950"/>
    <n v="6.71"/>
  </r>
  <r>
    <d v="2024-01-06T00:00:00"/>
    <x v="1"/>
    <n v="595"/>
    <n v="18000"/>
    <n v="900"/>
    <n v="87"/>
    <n v="4350"/>
    <n v="6.84"/>
  </r>
  <r>
    <d v="2024-01-06T00:00:00"/>
    <x v="2"/>
    <n v="405"/>
    <n v="22800"/>
    <n v="1140"/>
    <n v="57"/>
    <n v="2850"/>
    <n v="7.11"/>
  </r>
  <r>
    <d v="2024-01-06T00:00:00"/>
    <x v="3"/>
    <n v="225"/>
    <n v="5500"/>
    <n v="550"/>
    <n v="66"/>
    <n v="3300"/>
    <n v="3.41"/>
  </r>
  <r>
    <d v="2024-01-06T00:00:00"/>
    <x v="4"/>
    <n v="325"/>
    <n v="8250"/>
    <n v="412"/>
    <n v="34"/>
    <n v="1700"/>
    <n v="9.56"/>
  </r>
  <r>
    <d v="2024-01-07T00:00:00"/>
    <x v="0"/>
    <n v="500"/>
    <n v="25000"/>
    <n v="1250"/>
    <n v="75"/>
    <n v="3750"/>
    <n v="6.67"/>
  </r>
  <r>
    <d v="2024-01-07T00:00:00"/>
    <x v="1"/>
    <n v="600"/>
    <n v="18000"/>
    <n v="900"/>
    <n v="90"/>
    <n v="4500"/>
    <n v="6.67"/>
  </r>
  <r>
    <d v="2024-01-07T00:00:00"/>
    <x v="2"/>
    <n v="400"/>
    <n v="22000"/>
    <n v="1100"/>
    <n v="55"/>
    <n v="2750"/>
    <n v="7.27"/>
  </r>
  <r>
    <d v="2024-01-07T00:00:00"/>
    <x v="3"/>
    <n v="200"/>
    <n v="5000"/>
    <n v="500"/>
    <n v="60"/>
    <n v="3000"/>
    <n v="3.33"/>
  </r>
  <r>
    <d v="2024-01-07T00:00:00"/>
    <x v="4"/>
    <n v="300"/>
    <n v="8000"/>
    <n v="400"/>
    <n v="30"/>
    <n v="1500"/>
    <n v="10"/>
  </r>
  <r>
    <d v="2024-01-08T00:00:00"/>
    <x v="0"/>
    <n v="545"/>
    <n v="27200"/>
    <n v="1360"/>
    <n v="82"/>
    <n v="4100"/>
    <n v="6.64"/>
  </r>
  <r>
    <d v="2024-01-08T00:00:00"/>
    <x v="1"/>
    <n v="615"/>
    <n v="18800"/>
    <n v="940"/>
    <n v="94"/>
    <n v="4700"/>
    <n v="6.54"/>
  </r>
  <r>
    <d v="2024-01-08T00:00:00"/>
    <x v="2"/>
    <n v="415"/>
    <n v="23000"/>
    <n v="1150"/>
    <n v="60"/>
    <n v="3000"/>
    <n v="6.92"/>
  </r>
  <r>
    <d v="2024-01-08T00:00:00"/>
    <x v="3"/>
    <n v="240"/>
    <n v="5700"/>
    <n v="570"/>
    <n v="70"/>
    <n v="3500"/>
    <n v="3.43"/>
  </r>
  <r>
    <d v="2024-01-08T00:00:00"/>
    <x v="4"/>
    <n v="335"/>
    <n v="8400"/>
    <n v="420"/>
    <n v="35"/>
    <n v="1750"/>
    <n v="9.57"/>
  </r>
  <r>
    <d v="2024-01-09T00:00:00"/>
    <x v="0"/>
    <n v="485"/>
    <n v="24000"/>
    <n v="1200"/>
    <n v="70"/>
    <n v="3500"/>
    <n v="6.93"/>
  </r>
  <r>
    <d v="2024-01-09T00:00:00"/>
    <x v="1"/>
    <n v="575"/>
    <n v="17200"/>
    <n v="860"/>
    <n v="82"/>
    <n v="4100"/>
    <n v="7.01"/>
  </r>
  <r>
    <d v="2024-01-09T00:00:00"/>
    <x v="2"/>
    <n v="375"/>
    <n v="20500"/>
    <n v="1025"/>
    <n v="50"/>
    <n v="2500"/>
    <n v="7.5"/>
  </r>
  <r>
    <d v="2024-01-09T00:00:00"/>
    <x v="3"/>
    <n v="205"/>
    <n v="5100"/>
    <n v="510"/>
    <n v="58"/>
    <n v="2900"/>
    <n v="3.53"/>
  </r>
  <r>
    <d v="2024-01-09T00:00:00"/>
    <x v="4"/>
    <n v="295"/>
    <n v="7900"/>
    <n v="395"/>
    <n v="28"/>
    <n v="1400"/>
    <n v="10.54"/>
  </r>
  <r>
    <d v="2024-01-10T00:00:00"/>
    <x v="0"/>
    <n v="520"/>
    <n v="26000"/>
    <n v="1300"/>
    <n v="78"/>
    <n v="3900"/>
    <n v="6.67"/>
  </r>
  <r>
    <d v="2024-01-10T00:00:00"/>
    <x v="1"/>
    <n v="600"/>
    <n v="18500"/>
    <n v="925"/>
    <n v="91"/>
    <n v="4550"/>
    <n v="6.59"/>
  </r>
  <r>
    <d v="2024-01-10T00:00:00"/>
    <x v="2"/>
    <n v="410"/>
    <n v="22500"/>
    <n v="1125"/>
    <n v="58"/>
    <n v="2900"/>
    <n v="7.07"/>
  </r>
  <r>
    <d v="2024-01-10T00:00:00"/>
    <x v="3"/>
    <n v="220"/>
    <n v="5400"/>
    <n v="540"/>
    <n v="65"/>
    <n v="3250"/>
    <n v="3.38"/>
  </r>
  <r>
    <d v="2024-01-10T00:00:00"/>
    <x v="4"/>
    <n v="320"/>
    <n v="8200"/>
    <n v="410"/>
    <n v="33"/>
    <n v="1650"/>
    <n v="9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8E378-B431-4B14-9874-683097E57D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0" firstDataRow="1" firstDataCol="1"/>
  <pivotFields count="8">
    <pivotField numFmtId="14" showAll="0"/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pend" fld="2" baseField="0" baseItem="0"/>
    <dataField name="Sum of Impressions" fld="3" baseField="0" baseItem="0"/>
    <dataField name="Sum of Clicks" fld="4" baseField="0" baseItem="0"/>
    <dataField name="Sum of Conversions" fld="5" baseField="0" baseItem="0"/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5D3E01-EA38-4AC3-AB2B-EA978058AA60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Channel" tableColumnId="2"/>
      <queryTableField id="3" name="Spend" tableColumnId="3"/>
      <queryTableField id="4" name="Impressions" tableColumnId="4"/>
      <queryTableField id="5" name="Clicks" tableColumnId="5"/>
      <queryTableField id="6" name="Conversions" tableColumnId="6"/>
      <queryTableField id="7" name="Revenue" tableColumnId="7"/>
      <queryTableField id="8" name="Customer_Acquisition_Cos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D69A7-071D-4096-AA98-8649D76716F0}" name="marketing_campaign_data" displayName="marketing_campaign_data" ref="A1:H51" tableType="queryTable" totalsRowShown="0">
  <autoFilter ref="A1:H51" xr:uid="{2A4D69A7-071D-4096-AA98-8649D76716F0}"/>
  <tableColumns count="8">
    <tableColumn id="1" xr3:uid="{B7EC66FE-7EFE-4FB6-AA92-FDF50A6712BC}" uniqueName="1" name="Date" queryTableFieldId="1" dataDxfId="1"/>
    <tableColumn id="2" xr3:uid="{5C51B9D5-056F-4DDC-8383-DC05B1EC45A4}" uniqueName="2" name="Channel" queryTableFieldId="2" dataDxfId="0"/>
    <tableColumn id="3" xr3:uid="{45B94562-C819-44C2-BDBB-2AC92EAAB5D6}" uniqueName="3" name="Spend" queryTableFieldId="3"/>
    <tableColumn id="4" xr3:uid="{26AFC642-79A4-43EC-AD4B-85B5EFD7F6ED}" uniqueName="4" name="Impressions" queryTableFieldId="4"/>
    <tableColumn id="5" xr3:uid="{9FF676C2-ED7F-42A1-8965-B38B1A9DB583}" uniqueName="5" name="Clicks" queryTableFieldId="5"/>
    <tableColumn id="6" xr3:uid="{107455DE-F33A-4AB4-BAF6-2E9AA67AD727}" uniqueName="6" name="Conversions" queryTableFieldId="6"/>
    <tableColumn id="7" xr3:uid="{FB7D28BF-1FB5-40EB-B4AC-3B49C73953CC}" uniqueName="7" name="Revenue" queryTableFieldId="7"/>
    <tableColumn id="8" xr3:uid="{7C423AC5-1CA7-47B7-B0C7-5F3B1725040C}" uniqueName="8" name="Customer_Acquisition_Cos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CB12-1DD1-448D-A7BC-6B422489E0A2}">
  <dimension ref="A3:M9"/>
  <sheetViews>
    <sheetView workbookViewId="0">
      <selection activeCell="L15" sqref="L15"/>
    </sheetView>
  </sheetViews>
  <sheetFormatPr defaultRowHeight="14.4" x14ac:dyDescent="0.3"/>
  <cols>
    <col min="1" max="1" width="12.44140625" bestFit="1" customWidth="1"/>
    <col min="2" max="2" width="12.33203125" bestFit="1" customWidth="1"/>
    <col min="3" max="3" width="17.44140625" bestFit="1" customWidth="1"/>
    <col min="4" max="4" width="12.21875" bestFit="1" customWidth="1"/>
    <col min="5" max="5" width="17.33203125" bestFit="1" customWidth="1"/>
    <col min="6" max="6" width="17.6640625" customWidth="1"/>
    <col min="9" max="9" width="12.44140625" customWidth="1"/>
  </cols>
  <sheetData>
    <row r="3" spans="1:13" x14ac:dyDescent="0.3">
      <c r="A3" s="2" t="s">
        <v>13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 spans="1:13" x14ac:dyDescent="0.3">
      <c r="A4" s="3" t="s">
        <v>11</v>
      </c>
      <c r="B4">
        <v>2165</v>
      </c>
      <c r="C4">
        <v>53200</v>
      </c>
      <c r="D4">
        <v>5320</v>
      </c>
      <c r="E4">
        <v>637</v>
      </c>
      <c r="F4">
        <v>31850</v>
      </c>
      <c r="H4">
        <f>(D4/C4)*100</f>
        <v>10</v>
      </c>
      <c r="I4">
        <f>(E4/D4)*100</f>
        <v>11.973684210526315</v>
      </c>
      <c r="J4">
        <f>((F4-B4)/B4)*100</f>
        <v>1371.1316397228638</v>
      </c>
      <c r="K4">
        <f>F4/B4</f>
        <v>14.711316397228638</v>
      </c>
      <c r="L4">
        <f>(B4/C4)*1000</f>
        <v>40.695488721804516</v>
      </c>
      <c r="M4">
        <f>B4/D4</f>
        <v>0.40695488721804512</v>
      </c>
    </row>
    <row r="5" spans="1:13" x14ac:dyDescent="0.3">
      <c r="A5" s="3" t="s">
        <v>8</v>
      </c>
      <c r="B5">
        <v>5140</v>
      </c>
      <c r="C5">
        <v>256700</v>
      </c>
      <c r="D5">
        <v>12835</v>
      </c>
      <c r="E5">
        <v>765</v>
      </c>
      <c r="F5">
        <v>38250</v>
      </c>
      <c r="H5">
        <f t="shared" ref="H5:H8" si="0">(D5/C5)*100</f>
        <v>5</v>
      </c>
      <c r="I5">
        <f t="shared" ref="I5:I9" si="1">(E5/D5)*100</f>
        <v>5.9602649006622519</v>
      </c>
      <c r="J5">
        <f t="shared" ref="J5:J9" si="2">((F5-B5)/B5)*100</f>
        <v>644.16342412451365</v>
      </c>
      <c r="K5">
        <f t="shared" ref="K5:K9" si="3">F5/B5</f>
        <v>7.4416342412451364</v>
      </c>
      <c r="L5">
        <f t="shared" ref="L5:L9" si="4">(B5/C5)*1000</f>
        <v>20.023373587845736</v>
      </c>
      <c r="M5">
        <f t="shared" ref="M5:M9" si="5">B5/D5</f>
        <v>0.40046747175691466</v>
      </c>
    </row>
    <row r="6" spans="1:13" x14ac:dyDescent="0.3">
      <c r="A6" s="3" t="s">
        <v>9</v>
      </c>
      <c r="B6">
        <v>5970</v>
      </c>
      <c r="C6">
        <v>180500</v>
      </c>
      <c r="D6">
        <v>9025</v>
      </c>
      <c r="E6">
        <v>889</v>
      </c>
      <c r="F6">
        <v>44450</v>
      </c>
      <c r="H6">
        <f t="shared" si="0"/>
        <v>5</v>
      </c>
      <c r="I6">
        <f t="shared" si="1"/>
        <v>9.8504155124653749</v>
      </c>
      <c r="J6">
        <f t="shared" si="2"/>
        <v>644.55611390284753</v>
      </c>
      <c r="K6">
        <f t="shared" si="3"/>
        <v>7.4455611390284755</v>
      </c>
      <c r="L6">
        <f t="shared" si="4"/>
        <v>33.074792243767313</v>
      </c>
      <c r="M6">
        <f t="shared" si="5"/>
        <v>0.66149584487534629</v>
      </c>
    </row>
    <row r="7" spans="1:13" x14ac:dyDescent="0.3">
      <c r="A7" s="3" t="s">
        <v>10</v>
      </c>
      <c r="B7">
        <v>4005</v>
      </c>
      <c r="C7">
        <v>220800</v>
      </c>
      <c r="D7">
        <v>11040</v>
      </c>
      <c r="E7">
        <v>555</v>
      </c>
      <c r="F7">
        <v>27750</v>
      </c>
      <c r="H7">
        <f t="shared" si="0"/>
        <v>5</v>
      </c>
      <c r="I7">
        <f t="shared" si="1"/>
        <v>5.0271739130434785</v>
      </c>
      <c r="J7">
        <f t="shared" si="2"/>
        <v>592.88389513108609</v>
      </c>
      <c r="K7">
        <f t="shared" si="3"/>
        <v>6.928838951310861</v>
      </c>
      <c r="L7">
        <f t="shared" si="4"/>
        <v>18.138586956521738</v>
      </c>
      <c r="M7">
        <f t="shared" si="5"/>
        <v>0.36277173913043476</v>
      </c>
    </row>
    <row r="8" spans="1:13" x14ac:dyDescent="0.3">
      <c r="A8" s="3" t="s">
        <v>12</v>
      </c>
      <c r="B8">
        <v>3150</v>
      </c>
      <c r="C8">
        <v>81500</v>
      </c>
      <c r="D8">
        <v>4075</v>
      </c>
      <c r="E8">
        <v>318</v>
      </c>
      <c r="F8">
        <v>15900</v>
      </c>
      <c r="H8">
        <f t="shared" si="0"/>
        <v>5</v>
      </c>
      <c r="I8">
        <f t="shared" si="1"/>
        <v>7.8036809815950914</v>
      </c>
      <c r="J8">
        <f t="shared" si="2"/>
        <v>404.76190476190476</v>
      </c>
      <c r="K8">
        <f t="shared" si="3"/>
        <v>5.0476190476190474</v>
      </c>
      <c r="L8">
        <f t="shared" si="4"/>
        <v>38.650306748466257</v>
      </c>
      <c r="M8">
        <f t="shared" si="5"/>
        <v>0.77300613496932513</v>
      </c>
    </row>
    <row r="9" spans="1:13" x14ac:dyDescent="0.3">
      <c r="A9" s="3" t="s">
        <v>14</v>
      </c>
      <c r="B9">
        <v>20430</v>
      </c>
      <c r="C9">
        <v>792700</v>
      </c>
      <c r="D9">
        <v>42295</v>
      </c>
      <c r="E9">
        <v>3164</v>
      </c>
      <c r="F9">
        <v>158200</v>
      </c>
      <c r="H9">
        <f>(D9/C9)*100</f>
        <v>5.3355620032799287</v>
      </c>
      <c r="I9">
        <f t="shared" si="1"/>
        <v>7.4807896914528911</v>
      </c>
      <c r="J9">
        <f t="shared" si="2"/>
        <v>674.3514439549682</v>
      </c>
      <c r="K9">
        <f t="shared" si="3"/>
        <v>7.7435144395496822</v>
      </c>
      <c r="L9">
        <f t="shared" si="4"/>
        <v>25.772675665447206</v>
      </c>
      <c r="M9">
        <f t="shared" si="5"/>
        <v>0.48303581983686017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EB44-81A9-4656-9C90-1D83FEF66E0B}">
  <dimension ref="A1:H51"/>
  <sheetViews>
    <sheetView topLeftCell="A2" zoomScale="76" workbookViewId="0">
      <selection activeCell="E14" sqref="A2:H51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8.5546875" bestFit="1" customWidth="1"/>
    <col min="4" max="4" width="13.44140625" bestFit="1" customWidth="1"/>
    <col min="5" max="5" width="8.44140625" bestFit="1" customWidth="1"/>
    <col min="6" max="6" width="13.33203125" bestFit="1" customWidth="1"/>
    <col min="7" max="7" width="10.21875" bestFit="1" customWidth="1"/>
    <col min="8" max="8" width="2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>
        <v>500</v>
      </c>
      <c r="D2">
        <v>25000</v>
      </c>
      <c r="E2">
        <v>1250</v>
      </c>
      <c r="F2">
        <v>75</v>
      </c>
      <c r="G2">
        <v>3750</v>
      </c>
      <c r="H2">
        <v>6.67</v>
      </c>
    </row>
    <row r="3" spans="1:8" x14ac:dyDescent="0.3">
      <c r="A3" s="1">
        <v>45292</v>
      </c>
      <c r="B3" t="s">
        <v>9</v>
      </c>
      <c r="C3">
        <v>600</v>
      </c>
      <c r="D3">
        <v>18000</v>
      </c>
      <c r="E3">
        <v>900</v>
      </c>
      <c r="F3">
        <v>90</v>
      </c>
      <c r="G3">
        <v>4500</v>
      </c>
      <c r="H3">
        <v>6.67</v>
      </c>
    </row>
    <row r="4" spans="1:8" x14ac:dyDescent="0.3">
      <c r="A4" s="1">
        <v>45292</v>
      </c>
      <c r="B4" t="s">
        <v>10</v>
      </c>
      <c r="C4">
        <v>400</v>
      </c>
      <c r="D4">
        <v>22000</v>
      </c>
      <c r="E4">
        <v>1100</v>
      </c>
      <c r="F4">
        <v>55</v>
      </c>
      <c r="G4">
        <v>2750</v>
      </c>
      <c r="H4">
        <v>7.27</v>
      </c>
    </row>
    <row r="5" spans="1:8" x14ac:dyDescent="0.3">
      <c r="A5" s="1">
        <v>45292</v>
      </c>
      <c r="B5" t="s">
        <v>11</v>
      </c>
      <c r="C5">
        <v>200</v>
      </c>
      <c r="D5">
        <v>5000</v>
      </c>
      <c r="E5">
        <v>500</v>
      </c>
      <c r="F5">
        <v>60</v>
      </c>
      <c r="G5">
        <v>3000</v>
      </c>
      <c r="H5">
        <v>3.33</v>
      </c>
    </row>
    <row r="6" spans="1:8" x14ac:dyDescent="0.3">
      <c r="A6" s="1">
        <v>45292</v>
      </c>
      <c r="B6" t="s">
        <v>12</v>
      </c>
      <c r="C6">
        <v>300</v>
      </c>
      <c r="D6">
        <v>8000</v>
      </c>
      <c r="E6">
        <v>400</v>
      </c>
      <c r="F6">
        <v>30</v>
      </c>
      <c r="G6">
        <v>1500</v>
      </c>
      <c r="H6">
        <v>10</v>
      </c>
    </row>
    <row r="7" spans="1:8" x14ac:dyDescent="0.3">
      <c r="A7" s="1">
        <v>45293</v>
      </c>
      <c r="B7" t="s">
        <v>8</v>
      </c>
      <c r="C7">
        <v>520</v>
      </c>
      <c r="D7">
        <v>26000</v>
      </c>
      <c r="E7">
        <v>1300</v>
      </c>
      <c r="F7">
        <v>78</v>
      </c>
      <c r="G7">
        <v>3900</v>
      </c>
      <c r="H7">
        <v>6.67</v>
      </c>
    </row>
    <row r="8" spans="1:8" x14ac:dyDescent="0.3">
      <c r="A8" s="1">
        <v>45293</v>
      </c>
      <c r="B8" t="s">
        <v>9</v>
      </c>
      <c r="C8">
        <v>580</v>
      </c>
      <c r="D8">
        <v>17500</v>
      </c>
      <c r="E8">
        <v>875</v>
      </c>
      <c r="F8">
        <v>88</v>
      </c>
      <c r="G8">
        <v>4400</v>
      </c>
      <c r="H8">
        <v>6.59</v>
      </c>
    </row>
    <row r="9" spans="1:8" x14ac:dyDescent="0.3">
      <c r="A9" s="1">
        <v>45293</v>
      </c>
      <c r="B9" t="s">
        <v>10</v>
      </c>
      <c r="C9">
        <v>420</v>
      </c>
      <c r="D9">
        <v>23000</v>
      </c>
      <c r="E9">
        <v>1150</v>
      </c>
      <c r="F9">
        <v>58</v>
      </c>
      <c r="G9">
        <v>2900</v>
      </c>
      <c r="H9">
        <v>7.24</v>
      </c>
    </row>
    <row r="10" spans="1:8" x14ac:dyDescent="0.3">
      <c r="A10" s="1">
        <v>45293</v>
      </c>
      <c r="B10" t="s">
        <v>11</v>
      </c>
      <c r="C10">
        <v>210</v>
      </c>
      <c r="D10">
        <v>5200</v>
      </c>
      <c r="E10">
        <v>520</v>
      </c>
      <c r="F10">
        <v>63</v>
      </c>
      <c r="G10">
        <v>3150</v>
      </c>
      <c r="H10">
        <v>3.33</v>
      </c>
    </row>
    <row r="11" spans="1:8" x14ac:dyDescent="0.3">
      <c r="A11" s="1">
        <v>45293</v>
      </c>
      <c r="B11" t="s">
        <v>12</v>
      </c>
      <c r="C11">
        <v>320</v>
      </c>
      <c r="D11">
        <v>8200</v>
      </c>
      <c r="E11">
        <v>410</v>
      </c>
      <c r="F11">
        <v>32</v>
      </c>
      <c r="G11">
        <v>1600</v>
      </c>
      <c r="H11">
        <v>10</v>
      </c>
    </row>
    <row r="12" spans="1:8" x14ac:dyDescent="0.3">
      <c r="A12" s="1">
        <v>45294</v>
      </c>
      <c r="B12" t="s">
        <v>8</v>
      </c>
      <c r="C12">
        <v>490</v>
      </c>
      <c r="D12">
        <v>24500</v>
      </c>
      <c r="E12">
        <v>1225</v>
      </c>
      <c r="F12">
        <v>72</v>
      </c>
      <c r="G12">
        <v>3600</v>
      </c>
      <c r="H12">
        <v>6.81</v>
      </c>
    </row>
    <row r="13" spans="1:8" x14ac:dyDescent="0.3">
      <c r="A13" s="1">
        <v>45294</v>
      </c>
      <c r="B13" t="s">
        <v>9</v>
      </c>
      <c r="C13">
        <v>610</v>
      </c>
      <c r="D13">
        <v>18500</v>
      </c>
      <c r="E13">
        <v>925</v>
      </c>
      <c r="F13">
        <v>92</v>
      </c>
      <c r="G13">
        <v>4600</v>
      </c>
      <c r="H13">
        <v>6.63</v>
      </c>
    </row>
    <row r="14" spans="1:8" x14ac:dyDescent="0.3">
      <c r="A14" s="1">
        <v>45294</v>
      </c>
      <c r="B14" t="s">
        <v>10</v>
      </c>
      <c r="C14">
        <v>380</v>
      </c>
      <c r="D14">
        <v>21000</v>
      </c>
      <c r="E14">
        <v>1050</v>
      </c>
      <c r="F14">
        <v>52</v>
      </c>
      <c r="G14">
        <v>2600</v>
      </c>
      <c r="H14">
        <v>7.31</v>
      </c>
    </row>
    <row r="15" spans="1:8" x14ac:dyDescent="0.3">
      <c r="A15" s="1">
        <v>45294</v>
      </c>
      <c r="B15" t="s">
        <v>11</v>
      </c>
      <c r="C15">
        <v>220</v>
      </c>
      <c r="D15">
        <v>5400</v>
      </c>
      <c r="E15">
        <v>540</v>
      </c>
      <c r="F15">
        <v>65</v>
      </c>
      <c r="G15">
        <v>3250</v>
      </c>
      <c r="H15">
        <v>3.38</v>
      </c>
    </row>
    <row r="16" spans="1:8" x14ac:dyDescent="0.3">
      <c r="A16" s="1">
        <v>45294</v>
      </c>
      <c r="B16" t="s">
        <v>12</v>
      </c>
      <c r="C16">
        <v>310</v>
      </c>
      <c r="D16">
        <v>8100</v>
      </c>
      <c r="E16">
        <v>405</v>
      </c>
      <c r="F16">
        <v>31</v>
      </c>
      <c r="G16">
        <v>1550</v>
      </c>
      <c r="H16">
        <v>10</v>
      </c>
    </row>
    <row r="17" spans="1:8" x14ac:dyDescent="0.3">
      <c r="A17" s="1">
        <v>45295</v>
      </c>
      <c r="B17" t="s">
        <v>8</v>
      </c>
      <c r="C17">
        <v>540</v>
      </c>
      <c r="D17">
        <v>27000</v>
      </c>
      <c r="E17">
        <v>1350</v>
      </c>
      <c r="F17">
        <v>80</v>
      </c>
      <c r="G17">
        <v>4000</v>
      </c>
      <c r="H17">
        <v>6.75</v>
      </c>
    </row>
    <row r="18" spans="1:8" x14ac:dyDescent="0.3">
      <c r="A18" s="1">
        <v>45295</v>
      </c>
      <c r="B18" t="s">
        <v>9</v>
      </c>
      <c r="C18">
        <v>590</v>
      </c>
      <c r="D18">
        <v>17800</v>
      </c>
      <c r="E18">
        <v>890</v>
      </c>
      <c r="F18">
        <v>86</v>
      </c>
      <c r="G18">
        <v>4300</v>
      </c>
      <c r="H18">
        <v>6.86</v>
      </c>
    </row>
    <row r="19" spans="1:8" x14ac:dyDescent="0.3">
      <c r="A19" s="1">
        <v>45295</v>
      </c>
      <c r="B19" t="s">
        <v>10</v>
      </c>
      <c r="C19">
        <v>410</v>
      </c>
      <c r="D19">
        <v>22500</v>
      </c>
      <c r="E19">
        <v>1125</v>
      </c>
      <c r="F19">
        <v>56</v>
      </c>
      <c r="G19">
        <v>2800</v>
      </c>
      <c r="H19">
        <v>7.32</v>
      </c>
    </row>
    <row r="20" spans="1:8" x14ac:dyDescent="0.3">
      <c r="A20" s="1">
        <v>45295</v>
      </c>
      <c r="B20" t="s">
        <v>11</v>
      </c>
      <c r="C20">
        <v>230</v>
      </c>
      <c r="D20">
        <v>5600</v>
      </c>
      <c r="E20">
        <v>560</v>
      </c>
      <c r="F20">
        <v>68</v>
      </c>
      <c r="G20">
        <v>3400</v>
      </c>
      <c r="H20">
        <v>3.38</v>
      </c>
    </row>
    <row r="21" spans="1:8" x14ac:dyDescent="0.3">
      <c r="A21" s="1">
        <v>45295</v>
      </c>
      <c r="B21" t="s">
        <v>12</v>
      </c>
      <c r="C21">
        <v>330</v>
      </c>
      <c r="D21">
        <v>8300</v>
      </c>
      <c r="E21">
        <v>415</v>
      </c>
      <c r="F21">
        <v>33</v>
      </c>
      <c r="G21">
        <v>1650</v>
      </c>
      <c r="H21">
        <v>10</v>
      </c>
    </row>
    <row r="22" spans="1:8" x14ac:dyDescent="0.3">
      <c r="A22" s="1">
        <v>45296</v>
      </c>
      <c r="B22" t="s">
        <v>8</v>
      </c>
      <c r="C22">
        <v>510</v>
      </c>
      <c r="D22">
        <v>25500</v>
      </c>
      <c r="E22">
        <v>1275</v>
      </c>
      <c r="F22">
        <v>76</v>
      </c>
      <c r="G22">
        <v>3800</v>
      </c>
      <c r="H22">
        <v>6.71</v>
      </c>
    </row>
    <row r="23" spans="1:8" x14ac:dyDescent="0.3">
      <c r="A23" s="1">
        <v>45296</v>
      </c>
      <c r="B23" t="s">
        <v>9</v>
      </c>
      <c r="C23">
        <v>605</v>
      </c>
      <c r="D23">
        <v>18200</v>
      </c>
      <c r="E23">
        <v>910</v>
      </c>
      <c r="F23">
        <v>89</v>
      </c>
      <c r="G23">
        <v>4450</v>
      </c>
      <c r="H23">
        <v>6.8</v>
      </c>
    </row>
    <row r="24" spans="1:8" x14ac:dyDescent="0.3">
      <c r="A24" s="1">
        <v>45296</v>
      </c>
      <c r="B24" t="s">
        <v>10</v>
      </c>
      <c r="C24">
        <v>390</v>
      </c>
      <c r="D24">
        <v>21500</v>
      </c>
      <c r="E24">
        <v>1075</v>
      </c>
      <c r="F24">
        <v>54</v>
      </c>
      <c r="G24">
        <v>2700</v>
      </c>
      <c r="H24">
        <v>7.22</v>
      </c>
    </row>
    <row r="25" spans="1:8" x14ac:dyDescent="0.3">
      <c r="A25" s="1">
        <v>45296</v>
      </c>
      <c r="B25" t="s">
        <v>11</v>
      </c>
      <c r="C25">
        <v>215</v>
      </c>
      <c r="D25">
        <v>5300</v>
      </c>
      <c r="E25">
        <v>530</v>
      </c>
      <c r="F25">
        <v>62</v>
      </c>
      <c r="G25">
        <v>3100</v>
      </c>
      <c r="H25">
        <v>3.47</v>
      </c>
    </row>
    <row r="26" spans="1:8" x14ac:dyDescent="0.3">
      <c r="A26" s="1">
        <v>45296</v>
      </c>
      <c r="B26" t="s">
        <v>12</v>
      </c>
      <c r="C26">
        <v>315</v>
      </c>
      <c r="D26">
        <v>8150</v>
      </c>
      <c r="E26">
        <v>408</v>
      </c>
      <c r="F26">
        <v>32</v>
      </c>
      <c r="G26">
        <v>1600</v>
      </c>
      <c r="H26">
        <v>9.84</v>
      </c>
    </row>
    <row r="27" spans="1:8" x14ac:dyDescent="0.3">
      <c r="A27" s="1">
        <v>45297</v>
      </c>
      <c r="B27" t="s">
        <v>8</v>
      </c>
      <c r="C27">
        <v>530</v>
      </c>
      <c r="D27">
        <v>26500</v>
      </c>
      <c r="E27">
        <v>1325</v>
      </c>
      <c r="F27">
        <v>79</v>
      </c>
      <c r="G27">
        <v>3950</v>
      </c>
      <c r="H27">
        <v>6.71</v>
      </c>
    </row>
    <row r="28" spans="1:8" x14ac:dyDescent="0.3">
      <c r="A28" s="1">
        <v>45297</v>
      </c>
      <c r="B28" t="s">
        <v>9</v>
      </c>
      <c r="C28">
        <v>595</v>
      </c>
      <c r="D28">
        <v>18000</v>
      </c>
      <c r="E28">
        <v>900</v>
      </c>
      <c r="F28">
        <v>87</v>
      </c>
      <c r="G28">
        <v>4350</v>
      </c>
      <c r="H28">
        <v>6.84</v>
      </c>
    </row>
    <row r="29" spans="1:8" x14ac:dyDescent="0.3">
      <c r="A29" s="1">
        <v>45297</v>
      </c>
      <c r="B29" t="s">
        <v>10</v>
      </c>
      <c r="C29">
        <v>405</v>
      </c>
      <c r="D29">
        <v>22800</v>
      </c>
      <c r="E29">
        <v>1140</v>
      </c>
      <c r="F29">
        <v>57</v>
      </c>
      <c r="G29">
        <v>2850</v>
      </c>
      <c r="H29">
        <v>7.11</v>
      </c>
    </row>
    <row r="30" spans="1:8" x14ac:dyDescent="0.3">
      <c r="A30" s="1">
        <v>45297</v>
      </c>
      <c r="B30" t="s">
        <v>11</v>
      </c>
      <c r="C30">
        <v>225</v>
      </c>
      <c r="D30">
        <v>5500</v>
      </c>
      <c r="E30">
        <v>550</v>
      </c>
      <c r="F30">
        <v>66</v>
      </c>
      <c r="G30">
        <v>3300</v>
      </c>
      <c r="H30">
        <v>3.41</v>
      </c>
    </row>
    <row r="31" spans="1:8" x14ac:dyDescent="0.3">
      <c r="A31" s="1">
        <v>45297</v>
      </c>
      <c r="B31" t="s">
        <v>12</v>
      </c>
      <c r="C31">
        <v>325</v>
      </c>
      <c r="D31">
        <v>8250</v>
      </c>
      <c r="E31">
        <v>412</v>
      </c>
      <c r="F31">
        <v>34</v>
      </c>
      <c r="G31">
        <v>1700</v>
      </c>
      <c r="H31">
        <v>9.56</v>
      </c>
    </row>
    <row r="32" spans="1:8" x14ac:dyDescent="0.3">
      <c r="A32" s="1">
        <v>45298</v>
      </c>
      <c r="B32" t="s">
        <v>8</v>
      </c>
      <c r="C32">
        <v>500</v>
      </c>
      <c r="D32">
        <v>25000</v>
      </c>
      <c r="E32">
        <v>1250</v>
      </c>
      <c r="F32">
        <v>75</v>
      </c>
      <c r="G32">
        <v>3750</v>
      </c>
      <c r="H32">
        <v>6.67</v>
      </c>
    </row>
    <row r="33" spans="1:8" x14ac:dyDescent="0.3">
      <c r="A33" s="1">
        <v>45298</v>
      </c>
      <c r="B33" t="s">
        <v>9</v>
      </c>
      <c r="C33">
        <v>600</v>
      </c>
      <c r="D33">
        <v>18000</v>
      </c>
      <c r="E33">
        <v>900</v>
      </c>
      <c r="F33">
        <v>90</v>
      </c>
      <c r="G33">
        <v>4500</v>
      </c>
      <c r="H33">
        <v>6.67</v>
      </c>
    </row>
    <row r="34" spans="1:8" x14ac:dyDescent="0.3">
      <c r="A34" s="1">
        <v>45298</v>
      </c>
      <c r="B34" t="s">
        <v>10</v>
      </c>
      <c r="C34">
        <v>400</v>
      </c>
      <c r="D34">
        <v>22000</v>
      </c>
      <c r="E34">
        <v>1100</v>
      </c>
      <c r="F34">
        <v>55</v>
      </c>
      <c r="G34">
        <v>2750</v>
      </c>
      <c r="H34">
        <v>7.27</v>
      </c>
    </row>
    <row r="35" spans="1:8" x14ac:dyDescent="0.3">
      <c r="A35" s="1">
        <v>45298</v>
      </c>
      <c r="B35" t="s">
        <v>11</v>
      </c>
      <c r="C35">
        <v>200</v>
      </c>
      <c r="D35">
        <v>5000</v>
      </c>
      <c r="E35">
        <v>500</v>
      </c>
      <c r="F35">
        <v>60</v>
      </c>
      <c r="G35">
        <v>3000</v>
      </c>
      <c r="H35">
        <v>3.33</v>
      </c>
    </row>
    <row r="36" spans="1:8" x14ac:dyDescent="0.3">
      <c r="A36" s="1">
        <v>45298</v>
      </c>
      <c r="B36" t="s">
        <v>12</v>
      </c>
      <c r="C36">
        <v>300</v>
      </c>
      <c r="D36">
        <v>8000</v>
      </c>
      <c r="E36">
        <v>400</v>
      </c>
      <c r="F36">
        <v>30</v>
      </c>
      <c r="G36">
        <v>1500</v>
      </c>
      <c r="H36">
        <v>10</v>
      </c>
    </row>
    <row r="37" spans="1:8" x14ac:dyDescent="0.3">
      <c r="A37" s="1">
        <v>45299</v>
      </c>
      <c r="B37" t="s">
        <v>8</v>
      </c>
      <c r="C37">
        <v>545</v>
      </c>
      <c r="D37">
        <v>27200</v>
      </c>
      <c r="E37">
        <v>1360</v>
      </c>
      <c r="F37">
        <v>82</v>
      </c>
      <c r="G37">
        <v>4100</v>
      </c>
      <c r="H37">
        <v>6.64</v>
      </c>
    </row>
    <row r="38" spans="1:8" x14ac:dyDescent="0.3">
      <c r="A38" s="1">
        <v>45299</v>
      </c>
      <c r="B38" t="s">
        <v>9</v>
      </c>
      <c r="C38">
        <v>615</v>
      </c>
      <c r="D38">
        <v>18800</v>
      </c>
      <c r="E38">
        <v>940</v>
      </c>
      <c r="F38">
        <v>94</v>
      </c>
      <c r="G38">
        <v>4700</v>
      </c>
      <c r="H38">
        <v>6.54</v>
      </c>
    </row>
    <row r="39" spans="1:8" x14ac:dyDescent="0.3">
      <c r="A39" s="1">
        <v>45299</v>
      </c>
      <c r="B39" t="s">
        <v>10</v>
      </c>
      <c r="C39">
        <v>415</v>
      </c>
      <c r="D39">
        <v>23000</v>
      </c>
      <c r="E39">
        <v>1150</v>
      </c>
      <c r="F39">
        <v>60</v>
      </c>
      <c r="G39">
        <v>3000</v>
      </c>
      <c r="H39">
        <v>6.92</v>
      </c>
    </row>
    <row r="40" spans="1:8" x14ac:dyDescent="0.3">
      <c r="A40" s="1">
        <v>45299</v>
      </c>
      <c r="B40" t="s">
        <v>11</v>
      </c>
      <c r="C40">
        <v>240</v>
      </c>
      <c r="D40">
        <v>5700</v>
      </c>
      <c r="E40">
        <v>570</v>
      </c>
      <c r="F40">
        <v>70</v>
      </c>
      <c r="G40">
        <v>3500</v>
      </c>
      <c r="H40">
        <v>3.43</v>
      </c>
    </row>
    <row r="41" spans="1:8" x14ac:dyDescent="0.3">
      <c r="A41" s="1">
        <v>45299</v>
      </c>
      <c r="B41" t="s">
        <v>12</v>
      </c>
      <c r="C41">
        <v>335</v>
      </c>
      <c r="D41">
        <v>8400</v>
      </c>
      <c r="E41">
        <v>420</v>
      </c>
      <c r="F41">
        <v>35</v>
      </c>
      <c r="G41">
        <v>1750</v>
      </c>
      <c r="H41">
        <v>9.57</v>
      </c>
    </row>
    <row r="42" spans="1:8" x14ac:dyDescent="0.3">
      <c r="A42" s="1">
        <v>45300</v>
      </c>
      <c r="B42" t="s">
        <v>8</v>
      </c>
      <c r="C42">
        <v>485</v>
      </c>
      <c r="D42">
        <v>24000</v>
      </c>
      <c r="E42">
        <v>1200</v>
      </c>
      <c r="F42">
        <v>70</v>
      </c>
      <c r="G42">
        <v>3500</v>
      </c>
      <c r="H42">
        <v>6.93</v>
      </c>
    </row>
    <row r="43" spans="1:8" x14ac:dyDescent="0.3">
      <c r="A43" s="1">
        <v>45300</v>
      </c>
      <c r="B43" t="s">
        <v>9</v>
      </c>
      <c r="C43">
        <v>575</v>
      </c>
      <c r="D43">
        <v>17200</v>
      </c>
      <c r="E43">
        <v>860</v>
      </c>
      <c r="F43">
        <v>82</v>
      </c>
      <c r="G43">
        <v>4100</v>
      </c>
      <c r="H43">
        <v>7.01</v>
      </c>
    </row>
    <row r="44" spans="1:8" x14ac:dyDescent="0.3">
      <c r="A44" s="1">
        <v>45300</v>
      </c>
      <c r="B44" t="s">
        <v>10</v>
      </c>
      <c r="C44">
        <v>375</v>
      </c>
      <c r="D44">
        <v>20500</v>
      </c>
      <c r="E44">
        <v>1025</v>
      </c>
      <c r="F44">
        <v>50</v>
      </c>
      <c r="G44">
        <v>2500</v>
      </c>
      <c r="H44">
        <v>7.5</v>
      </c>
    </row>
    <row r="45" spans="1:8" x14ac:dyDescent="0.3">
      <c r="A45" s="1">
        <v>45300</v>
      </c>
      <c r="B45" t="s">
        <v>11</v>
      </c>
      <c r="C45">
        <v>205</v>
      </c>
      <c r="D45">
        <v>5100</v>
      </c>
      <c r="E45">
        <v>510</v>
      </c>
      <c r="F45">
        <v>58</v>
      </c>
      <c r="G45">
        <v>2900</v>
      </c>
      <c r="H45">
        <v>3.53</v>
      </c>
    </row>
    <row r="46" spans="1:8" x14ac:dyDescent="0.3">
      <c r="A46" s="1">
        <v>45300</v>
      </c>
      <c r="B46" t="s">
        <v>12</v>
      </c>
      <c r="C46">
        <v>295</v>
      </c>
      <c r="D46">
        <v>7900</v>
      </c>
      <c r="E46">
        <v>395</v>
      </c>
      <c r="F46">
        <v>28</v>
      </c>
      <c r="G46">
        <v>1400</v>
      </c>
      <c r="H46">
        <v>10.54</v>
      </c>
    </row>
    <row r="47" spans="1:8" x14ac:dyDescent="0.3">
      <c r="A47" s="1">
        <v>45301</v>
      </c>
      <c r="B47" t="s">
        <v>8</v>
      </c>
      <c r="C47">
        <v>520</v>
      </c>
      <c r="D47">
        <v>26000</v>
      </c>
      <c r="E47">
        <v>1300</v>
      </c>
      <c r="F47">
        <v>78</v>
      </c>
      <c r="G47">
        <v>3900</v>
      </c>
      <c r="H47">
        <v>6.67</v>
      </c>
    </row>
    <row r="48" spans="1:8" x14ac:dyDescent="0.3">
      <c r="A48" s="1">
        <v>45301</v>
      </c>
      <c r="B48" t="s">
        <v>9</v>
      </c>
      <c r="C48">
        <v>600</v>
      </c>
      <c r="D48">
        <v>18500</v>
      </c>
      <c r="E48">
        <v>925</v>
      </c>
      <c r="F48">
        <v>91</v>
      </c>
      <c r="G48">
        <v>4550</v>
      </c>
      <c r="H48">
        <v>6.59</v>
      </c>
    </row>
    <row r="49" spans="1:8" x14ac:dyDescent="0.3">
      <c r="A49" s="1">
        <v>45301</v>
      </c>
      <c r="B49" t="s">
        <v>10</v>
      </c>
      <c r="C49">
        <v>410</v>
      </c>
      <c r="D49">
        <v>22500</v>
      </c>
      <c r="E49">
        <v>1125</v>
      </c>
      <c r="F49">
        <v>58</v>
      </c>
      <c r="G49">
        <v>2900</v>
      </c>
      <c r="H49">
        <v>7.07</v>
      </c>
    </row>
    <row r="50" spans="1:8" x14ac:dyDescent="0.3">
      <c r="A50" s="1">
        <v>45301</v>
      </c>
      <c r="B50" t="s">
        <v>11</v>
      </c>
      <c r="C50">
        <v>220</v>
      </c>
      <c r="D50">
        <v>5400</v>
      </c>
      <c r="E50">
        <v>540</v>
      </c>
      <c r="F50">
        <v>65</v>
      </c>
      <c r="G50">
        <v>3250</v>
      </c>
      <c r="H50">
        <v>3.38</v>
      </c>
    </row>
    <row r="51" spans="1:8" x14ac:dyDescent="0.3">
      <c r="A51" s="1">
        <v>45301</v>
      </c>
      <c r="B51" t="s">
        <v>12</v>
      </c>
      <c r="C51">
        <v>320</v>
      </c>
      <c r="D51">
        <v>8200</v>
      </c>
      <c r="E51">
        <v>410</v>
      </c>
      <c r="F51">
        <v>33</v>
      </c>
      <c r="G51">
        <v>1650</v>
      </c>
      <c r="H51">
        <v>9.6999999999999993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C38B-ACC3-4F6F-B32A-1BE30504C1DF}">
  <dimension ref="A1:I46"/>
  <sheetViews>
    <sheetView showGridLines="0" tabSelected="1" showRuler="0" zoomScaleNormal="100" zoomScalePageLayoutView="68" workbookViewId="0">
      <selection activeCell="F3" sqref="F3"/>
    </sheetView>
  </sheetViews>
  <sheetFormatPr defaultRowHeight="14.4" x14ac:dyDescent="0.3"/>
  <cols>
    <col min="1" max="1" width="60.109375" customWidth="1"/>
    <col min="3" max="3" width="39.88671875" customWidth="1"/>
    <col min="4" max="5" width="8.88671875" hidden="1" customWidth="1"/>
    <col min="6" max="6" width="10.5546875" hidden="1" customWidth="1"/>
    <col min="7" max="7" width="9.88671875" customWidth="1"/>
    <col min="8" max="8" width="12.5546875" customWidth="1"/>
    <col min="9" max="9" width="52.77734375" customWidth="1"/>
  </cols>
  <sheetData>
    <row r="1" spans="1:9" ht="21" x14ac:dyDescent="0.4">
      <c r="A1" s="6" t="s">
        <v>26</v>
      </c>
      <c r="I1" s="6"/>
    </row>
    <row r="3" spans="1:9" x14ac:dyDescent="0.3">
      <c r="A3" s="7" t="s">
        <v>27</v>
      </c>
    </row>
    <row r="5" spans="1:9" ht="230.4" x14ac:dyDescent="0.3">
      <c r="A5" s="8" t="s">
        <v>31</v>
      </c>
    </row>
    <row r="7" spans="1:9" x14ac:dyDescent="0.3">
      <c r="A7" s="7" t="s">
        <v>28</v>
      </c>
    </row>
    <row r="9" spans="1:9" x14ac:dyDescent="0.3">
      <c r="A9" t="s">
        <v>32</v>
      </c>
    </row>
    <row r="10" spans="1:9" x14ac:dyDescent="0.3">
      <c r="A10" t="s">
        <v>33</v>
      </c>
    </row>
    <row r="14" spans="1:9" x14ac:dyDescent="0.3">
      <c r="A14" t="s">
        <v>34</v>
      </c>
    </row>
    <row r="15" spans="1:9" x14ac:dyDescent="0.3">
      <c r="A15" t="s">
        <v>35</v>
      </c>
    </row>
    <row r="19" spans="1:1" x14ac:dyDescent="0.3">
      <c r="A19" t="s">
        <v>36</v>
      </c>
    </row>
    <row r="20" spans="1:1" x14ac:dyDescent="0.3">
      <c r="A20" t="s">
        <v>37</v>
      </c>
    </row>
    <row r="24" spans="1:1" x14ac:dyDescent="0.3">
      <c r="A24" t="s">
        <v>38</v>
      </c>
    </row>
    <row r="25" spans="1:1" x14ac:dyDescent="0.3">
      <c r="A25" t="s">
        <v>39</v>
      </c>
    </row>
    <row r="29" spans="1:1" x14ac:dyDescent="0.3">
      <c r="A29" t="s">
        <v>40</v>
      </c>
    </row>
    <row r="30" spans="1:1" x14ac:dyDescent="0.3">
      <c r="A30" t="s">
        <v>41</v>
      </c>
    </row>
    <row r="33" spans="1:1" x14ac:dyDescent="0.3">
      <c r="A33" s="7" t="s">
        <v>29</v>
      </c>
    </row>
    <row r="35" spans="1:1" x14ac:dyDescent="0.3">
      <c r="A35" s="5" t="s">
        <v>47</v>
      </c>
    </row>
    <row r="36" spans="1:1" x14ac:dyDescent="0.3">
      <c r="A36" s="5" t="s">
        <v>46</v>
      </c>
    </row>
    <row r="37" spans="1:1" x14ac:dyDescent="0.3">
      <c r="A37" s="5" t="s">
        <v>45</v>
      </c>
    </row>
    <row r="38" spans="1:1" x14ac:dyDescent="0.3">
      <c r="A38" s="5" t="s">
        <v>44</v>
      </c>
    </row>
    <row r="39" spans="1:1" x14ac:dyDescent="0.3">
      <c r="A39" s="5" t="s">
        <v>43</v>
      </c>
    </row>
    <row r="40" spans="1:1" x14ac:dyDescent="0.3">
      <c r="A40" s="5" t="s">
        <v>42</v>
      </c>
    </row>
    <row r="41" spans="1:1" x14ac:dyDescent="0.3">
      <c r="A41" s="5"/>
    </row>
    <row r="43" spans="1:1" x14ac:dyDescent="0.3">
      <c r="A43" s="7" t="s">
        <v>30</v>
      </c>
    </row>
    <row r="44" spans="1:1" x14ac:dyDescent="0.3">
      <c r="A44" t="s">
        <v>49</v>
      </c>
    </row>
    <row r="45" spans="1:1" ht="115.2" x14ac:dyDescent="0.3">
      <c r="A45" s="8" t="s">
        <v>48</v>
      </c>
    </row>
    <row r="46" spans="1:1" x14ac:dyDescent="0.3">
      <c r="A46" s="9"/>
    </row>
  </sheetData>
  <pageMargins left="1" right="1" top="1" bottom="1" header="0.5" footer="0.5"/>
  <pageSetup orientation="portrait" r:id="rId1"/>
  <headerFooter>
    <oddHeader>&amp;C&amp;"-,Bold"&amp;16MARKETING CAMPAIGN - BUSINESS INSIGHTS REPORT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7668F-CDD1-4329-BAA2-EA20C140D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marketing_campaign_data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harshitchaurasia9120@gmail.com</dc:creator>
  <cp:lastModifiedBy>harshitchaurasia9120@gmail.com</cp:lastModifiedBy>
  <dcterms:created xsi:type="dcterms:W3CDTF">2026-06-11T21:23:28Z</dcterms:created>
  <dcterms:modified xsi:type="dcterms:W3CDTF">2026-06-12T08:15:48Z</dcterms:modified>
</cp:coreProperties>
</file>